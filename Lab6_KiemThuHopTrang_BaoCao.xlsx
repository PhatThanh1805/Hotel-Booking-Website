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chool\KiemThu\Hotel-Booking-Website\"/>
    </mc:Choice>
  </mc:AlternateContent>
  <xr:revisionPtr revIDLastSave="0" documentId="13_ncr:1_{AFFF8C04-7BC4-47C4-AFF4-CA4C02DF2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ài 1 - Statement Coverage" sheetId="2" r:id="rId1"/>
    <sheet name="Bài 2 - Branch Coverage" sheetId="3" r:id="rId2"/>
    <sheet name="Bài 3 - So Sánh &amp; Mở Rộng" sheetId="4" r:id="rId3"/>
  </sheets>
  <calcPr calcId="191029"/>
</workbook>
</file>

<file path=xl/calcChain.xml><?xml version="1.0" encoding="utf-8"?>
<calcChain xmlns="http://schemas.openxmlformats.org/spreadsheetml/2006/main">
  <c r="B40" i="3" l="1"/>
  <c r="B45" i="2"/>
</calcChain>
</file>

<file path=xl/sharedStrings.xml><?xml version="1.0" encoding="utf-8"?>
<sst xmlns="http://schemas.openxmlformats.org/spreadsheetml/2006/main" count="302" uniqueCount="229">
  <si>
    <t>BÀI 1: STATEMENT TESTING &amp; STATEMENT COVERAGE (KIỂM THỬ CÂU LỆNH)</t>
  </si>
  <si>
    <t>1. ĐOẠN MÃ MẪU (PSEUDO-CODE) &amp; PHÂN TÍCH DÒNG LỆNH</t>
  </si>
  <si>
    <t>STT Dòng</t>
  </si>
  <si>
    <t>Mã Nguồn (Pseudo-code)</t>
  </si>
  <si>
    <t>Giải Thích Chức Năng</t>
  </si>
  <si>
    <t>Phân Loại Trong Statement Testing</t>
  </si>
  <si>
    <t>Dòng 1</t>
  </si>
  <si>
    <t>def check_student_status(score):</t>
  </si>
  <si>
    <t>Khai báo hàm</t>
  </si>
  <si>
    <t>Không tính (Header)</t>
  </si>
  <si>
    <t>Dòng 2</t>
  </si>
  <si>
    <t xml:space="preserve">    result_message = "Student status unknown."</t>
  </si>
  <si>
    <t>Gán giá trị khởi tạo cho result_message</t>
  </si>
  <si>
    <t>Câu lệnh 1 (Executable)</t>
  </si>
  <si>
    <t>Dòng 3</t>
  </si>
  <si>
    <t xml:space="preserve">    if score &gt;= 50:</t>
  </si>
  <si>
    <t>Kiểm tra điều kiện score &gt;= 50</t>
  </si>
  <si>
    <t>Câu lệnh 2 (Executable - Condition)</t>
  </si>
  <si>
    <t>Dòng 4</t>
  </si>
  <si>
    <t xml:space="preserve">        result_message = "Student passed."</t>
  </si>
  <si>
    <t>Gán result_message khi đạt</t>
  </si>
  <si>
    <t>Câu lệnh 3 (Executable - True Branch 1)</t>
  </si>
  <si>
    <t>Dòng 5</t>
  </si>
  <si>
    <t xml:space="preserve">    else:</t>
  </si>
  <si>
    <t>Từ khóa cấu trúc rẽ nhánh</t>
  </si>
  <si>
    <t>Câu lệnh 4 (Control Structure)</t>
  </si>
  <si>
    <t>Dòng 6</t>
  </si>
  <si>
    <t xml:space="preserve">        result_message = "Student failed."</t>
  </si>
  <si>
    <t>Gán result_message khi không đạt</t>
  </si>
  <si>
    <t>Câu lệnh 5 (Executable - False Branch 1)</t>
  </si>
  <si>
    <t>Dòng 7</t>
  </si>
  <si>
    <t xml:space="preserve">    final_status = "Evaluation complete."</t>
  </si>
  <si>
    <t>Gán giá trị mặc định cho final_status</t>
  </si>
  <si>
    <t>Câu lệnh 6 (Executable)</t>
  </si>
  <si>
    <t>Dòng 8</t>
  </si>
  <si>
    <t xml:space="preserve">    if score == 100:</t>
  </si>
  <si>
    <t>Kiểm tra điều kiện score == 100</t>
  </si>
  <si>
    <t>Câu lệnh 7 (Executable - Condition)</t>
  </si>
  <si>
    <t>Dòng 9</t>
  </si>
  <si>
    <t xml:space="preserve">        final_status = "Perfect score achieved!"</t>
  </si>
  <si>
    <t>Gán final_status khi đạt điểm tuyệt đối</t>
  </si>
  <si>
    <t>Câu lệnh 8 (Executable - True Branch 2)</t>
  </si>
  <si>
    <t>Dòng 10</t>
  </si>
  <si>
    <t xml:space="preserve">    return result_message + " " + final_status</t>
  </si>
  <si>
    <t>Trả về chuỗi kết quả kết hợp</t>
  </si>
  <si>
    <t>Câu lệnh 9 (Executable - Return)</t>
  </si>
  <si>
    <t>2. DANH SÁCH CÁC CÂU LỆNH CÓ THỂ THỰC THI (EXECUTABLE STATEMENTS)</t>
  </si>
  <si>
    <t>Mã Lệnh</t>
  </si>
  <si>
    <t>Nội dung câu lệnh</t>
  </si>
  <si>
    <t>Điều kiện / Bối cảnh thực thi</t>
  </si>
  <si>
    <t>S1</t>
  </si>
  <si>
    <t>result_message = "Student status unknown."</t>
  </si>
  <si>
    <t>Luôn thực thi khi vào hàm</t>
  </si>
  <si>
    <t>S2</t>
  </si>
  <si>
    <t>if score &gt;= 50:</t>
  </si>
  <si>
    <t>Luôn thực thi (Kiểm tra điều kiện 1)</t>
  </si>
  <si>
    <t>S3</t>
  </si>
  <si>
    <t>result_message = "Student passed."</t>
  </si>
  <si>
    <t>Thực thi khi S2 là TRUE (score &gt;= 50)</t>
  </si>
  <si>
    <t>S5</t>
  </si>
  <si>
    <t>result_message = "Student failed."</t>
  </si>
  <si>
    <t>Thực thi khi S2 là FALSE (score &lt; 50)</t>
  </si>
  <si>
    <t>S6</t>
  </si>
  <si>
    <t>final_status = "Evaluation complete."</t>
  </si>
  <si>
    <t>Luôn thực thi sau khối if-else đầu tiên</t>
  </si>
  <si>
    <t>S7</t>
  </si>
  <si>
    <t>if score == 100:</t>
  </si>
  <si>
    <t>Luôn thực thi (Kiểm tra điều kiện 2)</t>
  </si>
  <si>
    <t>S8</t>
  </si>
  <si>
    <t>final_status = "Perfect score achieved!"</t>
  </si>
  <si>
    <t>Thực thi khi S7 là TRUE (score == 100)</t>
  </si>
  <si>
    <t>S9</t>
  </si>
  <si>
    <t>return result_message + " " + final_status</t>
  </si>
  <si>
    <t>Luôn thực thi trước khi thoát hàm</t>
  </si>
  <si>
    <t>3. THIẾT KẾ BỘ CA KIỂM THỬ TỐI THIỂU ĐẠT 100% STATEMENT COVERAGE</t>
  </si>
  <si>
    <t>Mã Ca Kiểm Thử</t>
  </si>
  <si>
    <t>Đầu Vào (score)</t>
  </si>
  <si>
    <t>Kết Quả Mong Đợi (Expected Output)</t>
  </si>
  <si>
    <t>Các Câu Lệnh Được Thực Thi</t>
  </si>
  <si>
    <t>Số Lệnh Phủ</t>
  </si>
  <si>
    <t>Độ Phủ TC</t>
  </si>
  <si>
    <t>Test_Case_1</t>
  </si>
  <si>
    <t>score = 100</t>
  </si>
  <si>
    <t>"Student passed. Perfect score achieved!"</t>
  </si>
  <si>
    <t>S1, S2 (True), S3, S6, S7 (True), S8, S9</t>
  </si>
  <si>
    <t>7 / 8</t>
  </si>
  <si>
    <t>87.5%</t>
  </si>
  <si>
    <t>Test_Case_2</t>
  </si>
  <si>
    <t>score = 40</t>
  </si>
  <si>
    <t>"Student failed. Evaluation complete."</t>
  </si>
  <si>
    <t>S1, S2 (False), S5, S6, S7 (False), S9</t>
  </si>
  <si>
    <t>6 / 8 (bổ sung S5)</t>
  </si>
  <si>
    <t>75.0%</t>
  </si>
  <si>
    <t>MA TRẬN VẾT ĐỘ PHỦ CÂU LỆNH (STATEMENT COVERAGE MATRIX)</t>
  </si>
  <si>
    <t>Ca Kiểm Thử</t>
  </si>
  <si>
    <t>Tổng Số Lệnh Phủ</t>
  </si>
  <si>
    <t>Test_Case_1 (score=100)</t>
  </si>
  <si>
    <t>✓</t>
  </si>
  <si>
    <t>✗</t>
  </si>
  <si>
    <t>Test_Case_2 (score=40)</t>
  </si>
  <si>
    <t>6 / 8</t>
  </si>
  <si>
    <t>BỘ CA KIỂM THỬ (TC1 + TC2)</t>
  </si>
  <si>
    <t>8 / 8 (100%)</t>
  </si>
  <si>
    <t>4. TÍNH TOÁN ĐỘ PHỦ CÂU LỆNH (STATEMENT COVERAGE CALCULATION)</t>
  </si>
  <si>
    <t>Công thức tổng quát:</t>
  </si>
  <si>
    <t>Statement Coverage (%) = (Số lượng câu lệnh đã thực thi / Tổng số câu lệnh có thể thực thi) * 100%</t>
  </si>
  <si>
    <t>Số câu lệnh đã thực thi:</t>
  </si>
  <si>
    <t>8 câu lệnh (S1, S2, S3, S5, S6, S7, S8, S9 đã được chạy qua bởi bộ TC1 + TC2)</t>
  </si>
  <si>
    <t>Tổng số câu lệnh có thể thực thi:</t>
  </si>
  <si>
    <t>8 câu lệnh</t>
  </si>
  <si>
    <t>Kết quả độ phủ đạt được:</t>
  </si>
  <si>
    <t>Đánh giá kết quả:</t>
  </si>
  <si>
    <t>ĐẠT 100% STATEMENT COVERAGE - Không có câu lệnh chết (Dead Code) hoặc câu lệnh bị bỏ sót.</t>
  </si>
  <si>
    <t>BÀI 2: DECISION / BRANCH TESTING &amp; BRANCH COVERAGE (KIỂM THỬ NHÁNH)</t>
  </si>
  <si>
    <t>1. ĐOẠN MÃ MẪU (PSEUDO-CODE) &amp; PHÂN TÍCH ĐIỀU KIỆN</t>
  </si>
  <si>
    <t>def calculate_discount(total_amount, is_member):</t>
  </si>
  <si>
    <t>Khai báo hàm với 2 tham số</t>
  </si>
  <si>
    <t>Khởi tạo</t>
  </si>
  <si>
    <t xml:space="preserve">    discount = 0</t>
  </si>
  <si>
    <t>Khởi tạo giá trị chiết khấu mặc định bằng 0</t>
  </si>
  <si>
    <t xml:space="preserve">    if total_amount &gt; 100:</t>
  </si>
  <si>
    <t>Điều kiện A: Kiểm tra giá trị hóa đơn &gt; 100</t>
  </si>
  <si>
    <t>Câu lệnh 2 (Điều kiện A)</t>
  </si>
  <si>
    <t xml:space="preserve">        discount = total_amount * 0.10</t>
  </si>
  <si>
    <t>Nhánh A-True: Tính giảm giá 10%</t>
  </si>
  <si>
    <t>Câu lệnh 3 (Exec - Nhánh A-True)</t>
  </si>
  <si>
    <t xml:space="preserve">    # Nhánh A-False sẽ bỏ qua Câu lệnh 3 và tiếp tục</t>
  </si>
  <si>
    <t>Nhánh A-False: Bỏ qua giảm giá 10%</t>
  </si>
  <si>
    <t>Nhánh Ẩn (Nhánh A-False)</t>
  </si>
  <si>
    <t xml:space="preserve">    if is_member:</t>
  </si>
  <si>
    <t>Điều kiện B: Kiểm tra khách hàng có phải thành viên</t>
  </si>
  <si>
    <t>Câu lệnh 4 (Điều kiện B)</t>
  </si>
  <si>
    <t xml:space="preserve">        discount = discount + 5</t>
  </si>
  <si>
    <t>Nhánh B-True: Cộng thêm 5$ ưu đãi thành viên</t>
  </si>
  <si>
    <t>Câu lệnh 5 (Exec - Nhánh B-True)</t>
  </si>
  <si>
    <t xml:space="preserve">    # Nhánh B-False sẽ bỏ qua Câu lệnh 5 và tiếp tục</t>
  </si>
  <si>
    <t>Nhánh B-False: Bỏ qua ưu đãi thành viên</t>
  </si>
  <si>
    <t>Nhánh Ẩn (Nhánh B-False)</t>
  </si>
  <si>
    <t xml:space="preserve">    return discount</t>
  </si>
  <si>
    <t>Trả về giá trị tổng tiền giảm giá</t>
  </si>
  <si>
    <t>Câu lệnh 6 (Executable - Return)</t>
  </si>
  <si>
    <t>2. DANH SÁCH TẤT CẢ CÁC NHÁNH (CONTROL FLOW BRANCHES)</t>
  </si>
  <si>
    <t>Mã Nhánh</t>
  </si>
  <si>
    <t>Tên Điểm Quyết Định</t>
  </si>
  <si>
    <t>Biểu Thức Điều Kiện</t>
  </si>
  <si>
    <t>Kết Quả Đánh Giá</t>
  </si>
  <si>
    <t>Hành Động &amp; Câu Lệnh Thực Thi</t>
  </si>
  <si>
    <t>Branch_A_True</t>
  </si>
  <si>
    <t>Điều kiện A (Dòng 3)</t>
  </si>
  <si>
    <t>total_amount &gt; 100</t>
  </si>
  <si>
    <t>TRUE</t>
  </si>
  <si>
    <t>Thực thi Câu lệnh 3 (discount = total_amount * 0.10)</t>
  </si>
  <si>
    <t>Branch_A_False</t>
  </si>
  <si>
    <t>FALSE</t>
  </si>
  <si>
    <t>Bỏ qua Câu lệnh 3, nhảy trực tiếp đến Điều kiện B (Dòng 6)</t>
  </si>
  <si>
    <t>Branch_B_True</t>
  </si>
  <si>
    <t>Điều kiện B (Dòng 6)</t>
  </si>
  <si>
    <t>is_member == True</t>
  </si>
  <si>
    <t>Thực thi Câu lệnh 5 (discount = discount + 5)</t>
  </si>
  <si>
    <t>Branch_B_False</t>
  </si>
  <si>
    <t>is_member == False</t>
  </si>
  <si>
    <t>Bỏ qua Câu lệnh 5, nhảy trực tiếp đến lệnh Return (Dòng 9)</t>
  </si>
  <si>
    <t>3. THIẾT KẾ BỘ CA KIỂM THỬ TỐI THIỂU ĐẠT 100% BRANCH COVERAGE</t>
  </si>
  <si>
    <t>Đầu Vào (total_amount, is_member)</t>
  </si>
  <si>
    <t>Kết Quả Mong Đợi (discount)</t>
  </si>
  <si>
    <t>Các Nhánh Được Thực Thi</t>
  </si>
  <si>
    <t>Số Nhánh Phủ</t>
  </si>
  <si>
    <t>total_amount = 150, is_member = True</t>
  </si>
  <si>
    <t>20 (150*0.10 + 5 = 20)</t>
  </si>
  <si>
    <t>Branch_A_True, Branch_B_True</t>
  </si>
  <si>
    <t>2 / 4</t>
  </si>
  <si>
    <t>50.0%</t>
  </si>
  <si>
    <t>total_amount = 50, is_member = False</t>
  </si>
  <si>
    <t>0 (Không giảm giá)</t>
  </si>
  <si>
    <t>Branch_A_False, Branch_B_False</t>
  </si>
  <si>
    <t>MA TRẬN VẾT ĐỘ PHỦ NHÁNH (BRANCH COVERAGE MATRIX)</t>
  </si>
  <si>
    <t>Branch A-True</t>
  </si>
  <si>
    <t>Branch A-False</t>
  </si>
  <si>
    <t>Branch B-True</t>
  </si>
  <si>
    <t>Branch B-False</t>
  </si>
  <si>
    <t>Tổng Số Nhánh Phủ</t>
  </si>
  <si>
    <t>Test_Case_1 (150, True)</t>
  </si>
  <si>
    <t>✓ (True)</t>
  </si>
  <si>
    <t>Test_Case_2 (50, False)</t>
  </si>
  <si>
    <t>✓ (False)</t>
  </si>
  <si>
    <t>4 / 4 (100%)</t>
  </si>
  <si>
    <t>4. TÍNH TOÁN ĐỘ PHỦ NHÁNH (BRANCH COVERAGE CALCULATION)</t>
  </si>
  <si>
    <t>Branch Coverage (%) = (Số lượng nhánh đã thực thi / Tổng số nhánh trong luồng điều khiển) * 100%</t>
  </si>
  <si>
    <t>Số nhánh đã thực thi:</t>
  </si>
  <si>
    <t>4 nhánh (Branch A-True, A-False, B-True, B-False đã được duyệt qua đầy đủ)</t>
  </si>
  <si>
    <t>Tổng số nhánh trong hàm:</t>
  </si>
  <si>
    <t>4 nhánh (2 điều kiện if * 2 nhánh/điều kiện)</t>
  </si>
  <si>
    <t>ĐẠT 100% BRANCH COVERAGE - Mọi quyết định rẽ nhánh logic đều đã được kiểm chứng.</t>
  </si>
  <si>
    <t>BÀI 3: PHẦN NÂNG CAO - SO SÁNH STATEMENT COVERAGE VÀ BRANCH COVERAGE</t>
  </si>
  <si>
    <t>1. BẢNG SO SÁNH CHI TIẾT GIỮA STATEMENT COVERAGE VÀ BRANCH COVERAGE</t>
  </si>
  <si>
    <t>Tiêu Chí So Sánh</t>
  </si>
  <si>
    <t>Statement Coverage (Phủ Câu Lệnh)</t>
  </si>
  <si>
    <t>Branch Coverage (Phủ Nhánh)</t>
  </si>
  <si>
    <t>Nhận Xét &amp; Đánh Giá Nâng Cao</t>
  </si>
  <si>
    <t>Định nghĩa</t>
  </si>
  <si>
    <t>Đo lường tỉ lệ phần trăm các câu lệnh thực thi đã được chạy ít nhất 1 lần.</t>
  </si>
  <si>
    <t>Đo lường tỉ lệ phần trăm các nhánh (True/False) của mọi điểm quyết định đã được kiểm thử.</t>
  </si>
  <si>
    <t>Branch Coverage kiểm soát luồng điều khiển sâu hơn Statement Coverage.</t>
  </si>
  <si>
    <t>Mục tiêu chính</t>
  </si>
  <si>
    <t>Đảm bảo không có câu lệnh nào bị lãng phí (dead code) hoặc chưa được thực thi.</t>
  </si>
  <si>
    <t>Đảm bảo tất cả các kịch bản rẽ nhánh logic (True và False) đều được xử lý đúng.</t>
  </si>
  <si>
    <t>Branch Coverage giúp phát hiện lỗi thiếu xử lý khối else.</t>
  </si>
  <si>
    <t>Độ mạnh kiểm thử</t>
  </si>
  <si>
    <t>Yếu hơn (Weak coverage criteria). Đạt 100% Statement chưa chắc đạt 100% Branch.</t>
  </si>
  <si>
    <t>Mạnh hơn (Stronger coverage criteria). 100% Branch Coverage LUÔN ĐẢM BẢO 100% Statement Coverage.</t>
  </si>
  <si>
    <t>Branch Coverage bao hàm toàn bộ Statement Coverage (ngoại trừ hàm không có nhánh nào).</t>
  </si>
  <si>
    <t>Số ca kiểm thử yêu cầu</t>
  </si>
  <si>
    <t>Thường ít hơn hoặc bằng số ca kiểm thử của Branch Coverage.</t>
  </si>
  <si>
    <t>Thường nhiều hơn hoặc bằng số ca kiểm thử của Statement Coverage.</t>
  </si>
  <si>
    <t>Với các câu lệnh if không có else, Branch Coverage bắt buộc phải có test case phủ nhánh False.</t>
  </si>
  <si>
    <t>Phát hiện lỗi logic</t>
  </si>
  <si>
    <t>Không phát hiện được lỗi khi điều kiện sai mà không có khối else xử lý.</t>
  </si>
  <si>
    <t>Phát hiện tốt các lỗi ẩn do thiếu nhánh xử lý ngoại lệ.</t>
  </si>
  <si>
    <t>Branch Coverage an toàn hơn trong các hệ thống đòi hỏi độ tin cậy cao.</t>
  </si>
  <si>
    <t>2. VÍ DỤ MINH HỌA SỰ KHÁC BIỆT (STATEMENT COVERAGE VS BRANCH COVERAGE)</t>
  </si>
  <si>
    <t>Đoạn mã ví dụ:</t>
  </si>
  <si>
    <t>if (x &gt; 0) { print('Dương'); }  // Không có khối else</t>
  </si>
  <si>
    <t>Với 1 Test Case (x = 5):</t>
  </si>
  <si>
    <t>- Đã thực thi lệnh print('Dương') -&gt; Đạt 100% STATEMENT COVERAGE.</t>
  </si>
  <si>
    <t>- Tuy nhiên, nhánh (x &gt; 0) = FALSE chưa bao giờ được kiểm thử -&gt; CHỈ ĐẠT 50% BRANCH COVERAGE.</t>
  </si>
  <si>
    <t>Kết luận rút ra:</t>
  </si>
  <si>
    <t>Muốn đạt 100% Branch Coverage, bắt buộc phải bổ sung Test Case (x = -1 hoặc x = 0) để phủ nhánh False!</t>
  </si>
  <si>
    <t>Ứng dụng thực tế:</t>
  </si>
  <si>
    <t>Trong các dự án kiểm thử phần mềm thực tế, doanh nghiệp luôn ưu tiên tiêu chuẩn Branch Coverage hoặc MCDC (Modified Condition/Decision Coverage) để đảm bảo chất lượng phần mềm tốt nhất.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</si>
</sst>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6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/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abSelected="1" workbookViewId="0">
      <selection activeCell="C50" sqref="C50"/>
    </sheetView>
  </sheetViews>
  <sheetFormatPr defaultRowHeight="15" x14ac:dyDescent="0.25"/>
  <cols>
    <col min="1" max="1" width="22" style="4" customWidth="1"/>
    <col min="2" max="2" width="42" style="4" customWidth="1"/>
    <col min="3" max="3" width="45" style="4" customWidth="1"/>
    <col min="4" max="4" width="42" style="4" customWidth="1"/>
    <col min="5" max="6" width="15" style="4" customWidth="1"/>
    <col min="7" max="9" width="12" style="4" customWidth="1"/>
    <col min="10" max="10" width="20" style="4" customWidth="1"/>
    <col min="11" max="16384" width="9.140625" style="4"/>
  </cols>
  <sheetData>
    <row r="1" spans="1:8" ht="35.1" customHeight="1" x14ac:dyDescent="0.25">
      <c r="A1" s="2" t="s">
        <v>0</v>
      </c>
      <c r="B1" s="3"/>
      <c r="C1" s="3"/>
      <c r="D1" s="3"/>
      <c r="E1" s="3"/>
      <c r="F1" s="3"/>
      <c r="G1" s="3"/>
      <c r="H1" s="3"/>
    </row>
    <row r="3" spans="1:8" x14ac:dyDescent="0.25">
      <c r="A3" s="5" t="s">
        <v>1</v>
      </c>
    </row>
    <row r="4" spans="1:8" ht="24.95" customHeight="1" x14ac:dyDescent="0.25">
      <c r="A4" s="6" t="s">
        <v>2</v>
      </c>
      <c r="B4" s="6" t="s">
        <v>3</v>
      </c>
      <c r="C4" s="6" t="s">
        <v>4</v>
      </c>
      <c r="D4" s="6" t="s">
        <v>5</v>
      </c>
    </row>
    <row r="5" spans="1:8" ht="21.95" customHeight="1" x14ac:dyDescent="0.25">
      <c r="A5" s="7" t="s">
        <v>6</v>
      </c>
      <c r="B5" s="8" t="s">
        <v>7</v>
      </c>
      <c r="C5" s="9" t="s">
        <v>8</v>
      </c>
      <c r="D5" s="9" t="s">
        <v>9</v>
      </c>
    </row>
    <row r="6" spans="1:8" ht="21.95" customHeight="1" x14ac:dyDescent="0.25">
      <c r="A6" s="7" t="s">
        <v>10</v>
      </c>
      <c r="B6" s="8" t="s">
        <v>11</v>
      </c>
      <c r="C6" s="9" t="s">
        <v>12</v>
      </c>
      <c r="D6" s="10" t="s">
        <v>13</v>
      </c>
    </row>
    <row r="7" spans="1:8" ht="21.95" customHeight="1" x14ac:dyDescent="0.25">
      <c r="A7" s="7" t="s">
        <v>14</v>
      </c>
      <c r="B7" s="8" t="s">
        <v>15</v>
      </c>
      <c r="C7" s="9" t="s">
        <v>16</v>
      </c>
      <c r="D7" s="10" t="s">
        <v>17</v>
      </c>
    </row>
    <row r="8" spans="1:8" ht="21.95" customHeight="1" x14ac:dyDescent="0.25">
      <c r="A8" s="7" t="s">
        <v>18</v>
      </c>
      <c r="B8" s="8" t="s">
        <v>19</v>
      </c>
      <c r="C8" s="9" t="s">
        <v>20</v>
      </c>
      <c r="D8" s="10" t="s">
        <v>21</v>
      </c>
    </row>
    <row r="9" spans="1:8" ht="21.95" customHeight="1" x14ac:dyDescent="0.25">
      <c r="A9" s="7" t="s">
        <v>22</v>
      </c>
      <c r="B9" s="8" t="s">
        <v>23</v>
      </c>
      <c r="C9" s="9" t="s">
        <v>24</v>
      </c>
      <c r="D9" s="9" t="s">
        <v>25</v>
      </c>
    </row>
    <row r="10" spans="1:8" ht="21.95" customHeight="1" x14ac:dyDescent="0.25">
      <c r="A10" s="7" t="s">
        <v>26</v>
      </c>
      <c r="B10" s="8" t="s">
        <v>27</v>
      </c>
      <c r="C10" s="9" t="s">
        <v>28</v>
      </c>
      <c r="D10" s="10" t="s">
        <v>29</v>
      </c>
    </row>
    <row r="11" spans="1:8" ht="21.95" customHeight="1" x14ac:dyDescent="0.25">
      <c r="A11" s="7" t="s">
        <v>30</v>
      </c>
      <c r="B11" s="8" t="s">
        <v>31</v>
      </c>
      <c r="C11" s="9" t="s">
        <v>32</v>
      </c>
      <c r="D11" s="10" t="s">
        <v>33</v>
      </c>
    </row>
    <row r="12" spans="1:8" ht="21.95" customHeight="1" x14ac:dyDescent="0.25">
      <c r="A12" s="7" t="s">
        <v>34</v>
      </c>
      <c r="B12" s="8" t="s">
        <v>35</v>
      </c>
      <c r="C12" s="9" t="s">
        <v>36</v>
      </c>
      <c r="D12" s="10" t="s">
        <v>37</v>
      </c>
    </row>
    <row r="13" spans="1:8" ht="21.95" customHeight="1" x14ac:dyDescent="0.25">
      <c r="A13" s="7" t="s">
        <v>38</v>
      </c>
      <c r="B13" s="8" t="s">
        <v>39</v>
      </c>
      <c r="C13" s="9" t="s">
        <v>40</v>
      </c>
      <c r="D13" s="10" t="s">
        <v>41</v>
      </c>
    </row>
    <row r="14" spans="1:8" ht="21.95" customHeight="1" x14ac:dyDescent="0.25">
      <c r="A14" s="7" t="s">
        <v>42</v>
      </c>
      <c r="B14" s="8" t="s">
        <v>43</v>
      </c>
      <c r="C14" s="9" t="s">
        <v>44</v>
      </c>
      <c r="D14" s="10" t="s">
        <v>45</v>
      </c>
    </row>
    <row r="16" spans="1:8" x14ac:dyDescent="0.25">
      <c r="A16" s="5" t="s">
        <v>46</v>
      </c>
    </row>
    <row r="17" spans="1:6" ht="21.95" customHeight="1" x14ac:dyDescent="0.25">
      <c r="A17" s="1" t="s">
        <v>47</v>
      </c>
      <c r="B17" s="1" t="s">
        <v>48</v>
      </c>
      <c r="C17" s="1" t="s">
        <v>49</v>
      </c>
    </row>
    <row r="18" spans="1:6" ht="21.95" customHeight="1" x14ac:dyDescent="0.25">
      <c r="A18" s="12" t="s">
        <v>50</v>
      </c>
      <c r="B18" s="9" t="s">
        <v>51</v>
      </c>
      <c r="C18" s="9" t="s">
        <v>52</v>
      </c>
    </row>
    <row r="19" spans="1:6" ht="21.95" customHeight="1" x14ac:dyDescent="0.25">
      <c r="A19" s="12" t="s">
        <v>53</v>
      </c>
      <c r="B19" s="9" t="s">
        <v>54</v>
      </c>
      <c r="C19" s="9" t="s">
        <v>55</v>
      </c>
    </row>
    <row r="20" spans="1:6" ht="21.95" customHeight="1" x14ac:dyDescent="0.25">
      <c r="A20" s="12" t="s">
        <v>56</v>
      </c>
      <c r="B20" s="9" t="s">
        <v>57</v>
      </c>
      <c r="C20" s="9" t="s">
        <v>58</v>
      </c>
    </row>
    <row r="21" spans="1:6" ht="21.95" customHeight="1" x14ac:dyDescent="0.25">
      <c r="A21" s="12" t="s">
        <v>59</v>
      </c>
      <c r="B21" s="9" t="s">
        <v>60</v>
      </c>
      <c r="C21" s="9" t="s">
        <v>61</v>
      </c>
    </row>
    <row r="22" spans="1:6" ht="21.95" customHeight="1" x14ac:dyDescent="0.25">
      <c r="A22" s="12" t="s">
        <v>62</v>
      </c>
      <c r="B22" s="9" t="s">
        <v>63</v>
      </c>
      <c r="C22" s="9" t="s">
        <v>64</v>
      </c>
    </row>
    <row r="23" spans="1:6" ht="21.95" customHeight="1" x14ac:dyDescent="0.25">
      <c r="A23" s="12" t="s">
        <v>65</v>
      </c>
      <c r="B23" s="9" t="s">
        <v>66</v>
      </c>
      <c r="C23" s="9" t="s">
        <v>67</v>
      </c>
    </row>
    <row r="24" spans="1:6" ht="21.95" customHeight="1" x14ac:dyDescent="0.25">
      <c r="A24" s="12" t="s">
        <v>68</v>
      </c>
      <c r="B24" s="9" t="s">
        <v>69</v>
      </c>
      <c r="C24" s="9" t="s">
        <v>70</v>
      </c>
    </row>
    <row r="25" spans="1:6" ht="21.95" customHeight="1" x14ac:dyDescent="0.25">
      <c r="A25" s="12" t="s">
        <v>71</v>
      </c>
      <c r="B25" s="9" t="s">
        <v>72</v>
      </c>
      <c r="C25" s="9" t="s">
        <v>73</v>
      </c>
    </row>
    <row r="27" spans="1:6" x14ac:dyDescent="0.25">
      <c r="A27" s="5"/>
    </row>
    <row r="29" spans="1:6" x14ac:dyDescent="0.25">
      <c r="A29" s="5" t="s">
        <v>74</v>
      </c>
    </row>
    <row r="30" spans="1:6" ht="24.95" customHeight="1" x14ac:dyDescent="0.25">
      <c r="A30" s="6" t="s">
        <v>75</v>
      </c>
      <c r="B30" s="6" t="s">
        <v>76</v>
      </c>
      <c r="C30" s="6" t="s">
        <v>77</v>
      </c>
      <c r="D30" s="6" t="s">
        <v>78</v>
      </c>
      <c r="E30" s="6" t="s">
        <v>79</v>
      </c>
      <c r="F30" s="6" t="s">
        <v>80</v>
      </c>
    </row>
    <row r="31" spans="1:6" ht="24" customHeight="1" x14ac:dyDescent="0.25">
      <c r="A31" s="12" t="s">
        <v>81</v>
      </c>
      <c r="B31" s="12" t="s">
        <v>82</v>
      </c>
      <c r="C31" s="9" t="s">
        <v>83</v>
      </c>
      <c r="D31" s="9" t="s">
        <v>84</v>
      </c>
      <c r="E31" s="12" t="s">
        <v>85</v>
      </c>
      <c r="F31" s="12" t="s">
        <v>86</v>
      </c>
    </row>
    <row r="32" spans="1:6" ht="24" customHeight="1" x14ac:dyDescent="0.25">
      <c r="A32" s="12" t="s">
        <v>87</v>
      </c>
      <c r="B32" s="12" t="s">
        <v>88</v>
      </c>
      <c r="C32" s="9" t="s">
        <v>89</v>
      </c>
      <c r="D32" s="9" t="s">
        <v>90</v>
      </c>
      <c r="E32" s="12" t="s">
        <v>91</v>
      </c>
      <c r="F32" s="12" t="s">
        <v>92</v>
      </c>
    </row>
    <row r="34" spans="1:10" x14ac:dyDescent="0.25">
      <c r="A34" s="5" t="s">
        <v>93</v>
      </c>
    </row>
    <row r="35" spans="1:10" ht="24.95" customHeight="1" x14ac:dyDescent="0.25">
      <c r="A35" s="1" t="s">
        <v>94</v>
      </c>
      <c r="B35" s="1" t="s">
        <v>50</v>
      </c>
      <c r="C35" s="1" t="s">
        <v>53</v>
      </c>
      <c r="D35" s="1" t="s">
        <v>56</v>
      </c>
      <c r="E35" s="1" t="s">
        <v>59</v>
      </c>
      <c r="F35" s="1" t="s">
        <v>62</v>
      </c>
      <c r="G35" s="1" t="s">
        <v>65</v>
      </c>
      <c r="H35" s="1" t="s">
        <v>68</v>
      </c>
      <c r="I35" s="1" t="s">
        <v>71</v>
      </c>
      <c r="J35" s="1" t="s">
        <v>95</v>
      </c>
    </row>
    <row r="36" spans="1:10" ht="24" customHeight="1" x14ac:dyDescent="0.25">
      <c r="A36" s="13" t="s">
        <v>96</v>
      </c>
      <c r="B36" s="14" t="s">
        <v>97</v>
      </c>
      <c r="C36" s="14" t="s">
        <v>97</v>
      </c>
      <c r="D36" s="14" t="s">
        <v>97</v>
      </c>
      <c r="E36" s="7" t="s">
        <v>98</v>
      </c>
      <c r="F36" s="14" t="s">
        <v>97</v>
      </c>
      <c r="G36" s="14" t="s">
        <v>97</v>
      </c>
      <c r="H36" s="14" t="s">
        <v>97</v>
      </c>
      <c r="I36" s="14" t="s">
        <v>97</v>
      </c>
      <c r="J36" s="12" t="s">
        <v>85</v>
      </c>
    </row>
    <row r="37" spans="1:10" ht="24" customHeight="1" x14ac:dyDescent="0.25">
      <c r="A37" s="13" t="s">
        <v>99</v>
      </c>
      <c r="B37" s="14" t="s">
        <v>97</v>
      </c>
      <c r="C37" s="14" t="s">
        <v>97</v>
      </c>
      <c r="D37" s="7" t="s">
        <v>98</v>
      </c>
      <c r="E37" s="14" t="s">
        <v>97</v>
      </c>
      <c r="F37" s="14" t="s">
        <v>97</v>
      </c>
      <c r="G37" s="14" t="s">
        <v>97</v>
      </c>
      <c r="H37" s="7" t="s">
        <v>98</v>
      </c>
      <c r="I37" s="14" t="s">
        <v>97</v>
      </c>
      <c r="J37" s="12" t="s">
        <v>100</v>
      </c>
    </row>
    <row r="38" spans="1:10" ht="24" customHeight="1" x14ac:dyDescent="0.25">
      <c r="A38" s="15" t="s">
        <v>101</v>
      </c>
      <c r="B38" s="16" t="s">
        <v>97</v>
      </c>
      <c r="C38" s="16" t="s">
        <v>97</v>
      </c>
      <c r="D38" s="16" t="s">
        <v>97</v>
      </c>
      <c r="E38" s="16" t="s">
        <v>97</v>
      </c>
      <c r="F38" s="16" t="s">
        <v>97</v>
      </c>
      <c r="G38" s="16" t="s">
        <v>97</v>
      </c>
      <c r="H38" s="16" t="s">
        <v>97</v>
      </c>
      <c r="I38" s="16" t="s">
        <v>97</v>
      </c>
      <c r="J38" s="16" t="s">
        <v>102</v>
      </c>
    </row>
    <row r="41" spans="1:10" x14ac:dyDescent="0.25">
      <c r="A41" s="5" t="s">
        <v>103</v>
      </c>
    </row>
    <row r="42" spans="1:10" ht="21.95" customHeight="1" x14ac:dyDescent="0.25">
      <c r="A42" s="5" t="s">
        <v>104</v>
      </c>
      <c r="B42" s="17" t="s">
        <v>105</v>
      </c>
    </row>
    <row r="43" spans="1:10" ht="21.95" customHeight="1" x14ac:dyDescent="0.25">
      <c r="A43" s="5" t="s">
        <v>106</v>
      </c>
      <c r="B43" s="17" t="s">
        <v>107</v>
      </c>
    </row>
    <row r="44" spans="1:10" ht="21.95" customHeight="1" x14ac:dyDescent="0.25">
      <c r="A44" s="5" t="s">
        <v>108</v>
      </c>
      <c r="B44" s="17" t="s">
        <v>109</v>
      </c>
    </row>
    <row r="45" spans="1:10" ht="21.95" customHeight="1" x14ac:dyDescent="0.25">
      <c r="A45" s="5" t="s">
        <v>110</v>
      </c>
      <c r="B45" s="17" t="b">
        <f>(8 / 8) * 100% = 100%</f>
        <v>1</v>
      </c>
    </row>
    <row r="46" spans="1:10" ht="21.95" customHeight="1" x14ac:dyDescent="0.25">
      <c r="A46" s="5" t="s">
        <v>111</v>
      </c>
      <c r="B46" s="5" t="s">
        <v>112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opLeftCell="A25" workbookViewId="0">
      <selection activeCell="B42" sqref="B42"/>
    </sheetView>
  </sheetViews>
  <sheetFormatPr defaultRowHeight="15" x14ac:dyDescent="0.25"/>
  <cols>
    <col min="1" max="1" width="22" style="4" customWidth="1"/>
    <col min="2" max="2" width="42" style="4" customWidth="1"/>
    <col min="3" max="3" width="45" style="4" customWidth="1"/>
    <col min="4" max="4" width="42" style="4" customWidth="1"/>
    <col min="5" max="6" width="15" style="4" customWidth="1"/>
    <col min="7" max="8" width="12" style="4" customWidth="1"/>
    <col min="9" max="16384" width="9.140625" style="4"/>
  </cols>
  <sheetData>
    <row r="1" spans="1:8" ht="35.1" customHeight="1" x14ac:dyDescent="0.25">
      <c r="A1" s="2" t="s">
        <v>113</v>
      </c>
      <c r="B1" s="3"/>
      <c r="C1" s="3"/>
      <c r="D1" s="3"/>
      <c r="E1" s="3"/>
      <c r="F1" s="3"/>
      <c r="G1" s="3"/>
      <c r="H1" s="3"/>
    </row>
    <row r="3" spans="1:8" x14ac:dyDescent="0.25">
      <c r="A3" s="5" t="s">
        <v>114</v>
      </c>
    </row>
    <row r="4" spans="1:8" ht="24.95" customHeight="1" x14ac:dyDescent="0.25">
      <c r="A4" s="6" t="s">
        <v>2</v>
      </c>
      <c r="B4" s="6" t="s">
        <v>3</v>
      </c>
      <c r="C4" s="6" t="s">
        <v>4</v>
      </c>
      <c r="D4" s="6" t="s">
        <v>5</v>
      </c>
    </row>
    <row r="5" spans="1:8" ht="21.95" customHeight="1" x14ac:dyDescent="0.25">
      <c r="A5" s="7" t="s">
        <v>6</v>
      </c>
      <c r="B5" s="8" t="s">
        <v>115</v>
      </c>
      <c r="C5" s="9" t="s">
        <v>116</v>
      </c>
      <c r="D5" s="9" t="s">
        <v>117</v>
      </c>
    </row>
    <row r="6" spans="1:8" ht="21.95" customHeight="1" x14ac:dyDescent="0.25">
      <c r="A6" s="7" t="s">
        <v>10</v>
      </c>
      <c r="B6" s="8" t="s">
        <v>118</v>
      </c>
      <c r="C6" s="9" t="s">
        <v>119</v>
      </c>
      <c r="D6" s="9" t="s">
        <v>13</v>
      </c>
    </row>
    <row r="7" spans="1:8" ht="21.95" customHeight="1" x14ac:dyDescent="0.25">
      <c r="A7" s="7" t="s">
        <v>14</v>
      </c>
      <c r="B7" s="8" t="s">
        <v>120</v>
      </c>
      <c r="C7" s="9" t="s">
        <v>121</v>
      </c>
      <c r="D7" s="9" t="s">
        <v>122</v>
      </c>
    </row>
    <row r="8" spans="1:8" ht="21.95" customHeight="1" x14ac:dyDescent="0.25">
      <c r="A8" s="7" t="s">
        <v>18</v>
      </c>
      <c r="B8" s="8" t="s">
        <v>123</v>
      </c>
      <c r="C8" s="10" t="s">
        <v>124</v>
      </c>
      <c r="D8" s="10" t="s">
        <v>125</v>
      </c>
    </row>
    <row r="9" spans="1:8" ht="21.95" customHeight="1" x14ac:dyDescent="0.25">
      <c r="A9" s="7" t="s">
        <v>22</v>
      </c>
      <c r="B9" s="11" t="s">
        <v>126</v>
      </c>
      <c r="C9" s="10" t="s">
        <v>127</v>
      </c>
      <c r="D9" s="10" t="s">
        <v>128</v>
      </c>
    </row>
    <row r="10" spans="1:8" ht="21.95" customHeight="1" x14ac:dyDescent="0.25">
      <c r="A10" s="7" t="s">
        <v>26</v>
      </c>
      <c r="B10" s="8" t="s">
        <v>129</v>
      </c>
      <c r="C10" s="9" t="s">
        <v>130</v>
      </c>
      <c r="D10" s="9" t="s">
        <v>131</v>
      </c>
    </row>
    <row r="11" spans="1:8" ht="21.95" customHeight="1" x14ac:dyDescent="0.25">
      <c r="A11" s="7" t="s">
        <v>30</v>
      </c>
      <c r="B11" s="8" t="s">
        <v>132</v>
      </c>
      <c r="C11" s="10" t="s">
        <v>133</v>
      </c>
      <c r="D11" s="10" t="s">
        <v>134</v>
      </c>
    </row>
    <row r="12" spans="1:8" ht="21.95" customHeight="1" x14ac:dyDescent="0.25">
      <c r="A12" s="7" t="s">
        <v>34</v>
      </c>
      <c r="B12" s="11" t="s">
        <v>135</v>
      </c>
      <c r="C12" s="10" t="s">
        <v>136</v>
      </c>
      <c r="D12" s="10" t="s">
        <v>137</v>
      </c>
    </row>
    <row r="13" spans="1:8" ht="21.95" customHeight="1" x14ac:dyDescent="0.25">
      <c r="A13" s="7" t="s">
        <v>38</v>
      </c>
      <c r="B13" s="8" t="s">
        <v>138</v>
      </c>
      <c r="C13" s="9" t="s">
        <v>139</v>
      </c>
      <c r="D13" s="9" t="s">
        <v>140</v>
      </c>
    </row>
    <row r="15" spans="1:8" x14ac:dyDescent="0.25">
      <c r="A15" s="5" t="s">
        <v>141</v>
      </c>
    </row>
    <row r="16" spans="1:8" ht="21.95" customHeight="1" x14ac:dyDescent="0.25">
      <c r="A16" s="1" t="s">
        <v>142</v>
      </c>
      <c r="B16" s="1" t="s">
        <v>143</v>
      </c>
      <c r="C16" s="1" t="s">
        <v>144</v>
      </c>
      <c r="D16" s="1" t="s">
        <v>145</v>
      </c>
      <c r="E16" s="1" t="s">
        <v>146</v>
      </c>
    </row>
    <row r="17" spans="1:6" ht="75" x14ac:dyDescent="0.25">
      <c r="A17" s="12" t="s">
        <v>147</v>
      </c>
      <c r="B17" s="9" t="s">
        <v>148</v>
      </c>
      <c r="C17" s="9" t="s">
        <v>149</v>
      </c>
      <c r="D17" s="12" t="s">
        <v>150</v>
      </c>
      <c r="E17" s="9" t="s">
        <v>151</v>
      </c>
    </row>
    <row r="18" spans="1:6" ht="75" x14ac:dyDescent="0.25">
      <c r="A18" s="12" t="s">
        <v>152</v>
      </c>
      <c r="B18" s="9" t="s">
        <v>148</v>
      </c>
      <c r="C18" s="9" t="s">
        <v>149</v>
      </c>
      <c r="D18" s="12" t="s">
        <v>153</v>
      </c>
      <c r="E18" s="9" t="s">
        <v>154</v>
      </c>
    </row>
    <row r="19" spans="1:6" ht="60" x14ac:dyDescent="0.25">
      <c r="A19" s="12" t="s">
        <v>155</v>
      </c>
      <c r="B19" s="9" t="s">
        <v>156</v>
      </c>
      <c r="C19" s="9" t="s">
        <v>157</v>
      </c>
      <c r="D19" s="12" t="s">
        <v>150</v>
      </c>
      <c r="E19" s="9" t="s">
        <v>158</v>
      </c>
    </row>
    <row r="20" spans="1:6" ht="75" x14ac:dyDescent="0.25">
      <c r="A20" s="12" t="s">
        <v>159</v>
      </c>
      <c r="B20" s="9" t="s">
        <v>156</v>
      </c>
      <c r="C20" s="9" t="s">
        <v>160</v>
      </c>
      <c r="D20" s="12" t="s">
        <v>153</v>
      </c>
      <c r="E20" s="9" t="s">
        <v>161</v>
      </c>
    </row>
    <row r="22" spans="1:6" x14ac:dyDescent="0.25">
      <c r="A22" s="5"/>
    </row>
    <row r="24" spans="1:6" x14ac:dyDescent="0.25">
      <c r="A24" s="5" t="s">
        <v>162</v>
      </c>
    </row>
    <row r="25" spans="1:6" ht="24.95" customHeight="1" x14ac:dyDescent="0.25">
      <c r="A25" s="6" t="s">
        <v>75</v>
      </c>
      <c r="B25" s="6" t="s">
        <v>163</v>
      </c>
      <c r="C25" s="6" t="s">
        <v>164</v>
      </c>
      <c r="D25" s="6" t="s">
        <v>165</v>
      </c>
      <c r="E25" s="6" t="s">
        <v>166</v>
      </c>
      <c r="F25" s="6" t="s">
        <v>80</v>
      </c>
    </row>
    <row r="26" spans="1:6" ht="24" customHeight="1" x14ac:dyDescent="0.25">
      <c r="A26" s="12" t="s">
        <v>81</v>
      </c>
      <c r="B26" s="12" t="s">
        <v>167</v>
      </c>
      <c r="C26" s="9" t="s">
        <v>168</v>
      </c>
      <c r="D26" s="9" t="s">
        <v>169</v>
      </c>
      <c r="E26" s="12" t="s">
        <v>170</v>
      </c>
      <c r="F26" s="12" t="s">
        <v>171</v>
      </c>
    </row>
    <row r="27" spans="1:6" ht="24" customHeight="1" x14ac:dyDescent="0.25">
      <c r="A27" s="12" t="s">
        <v>87</v>
      </c>
      <c r="B27" s="12" t="s">
        <v>172</v>
      </c>
      <c r="C27" s="9" t="s">
        <v>173</v>
      </c>
      <c r="D27" s="9" t="s">
        <v>174</v>
      </c>
      <c r="E27" s="12" t="s">
        <v>170</v>
      </c>
      <c r="F27" s="12" t="s">
        <v>171</v>
      </c>
    </row>
    <row r="29" spans="1:6" x14ac:dyDescent="0.25">
      <c r="A29" s="5" t="s">
        <v>175</v>
      </c>
    </row>
    <row r="30" spans="1:6" ht="24.95" customHeight="1" x14ac:dyDescent="0.25">
      <c r="A30" s="1" t="s">
        <v>94</v>
      </c>
      <c r="B30" s="1" t="s">
        <v>176</v>
      </c>
      <c r="C30" s="1" t="s">
        <v>177</v>
      </c>
      <c r="D30" s="1" t="s">
        <v>178</v>
      </c>
      <c r="E30" s="1" t="s">
        <v>179</v>
      </c>
      <c r="F30" s="1" t="s">
        <v>180</v>
      </c>
    </row>
    <row r="31" spans="1:6" ht="24" customHeight="1" x14ac:dyDescent="0.25">
      <c r="A31" s="13" t="s">
        <v>181</v>
      </c>
      <c r="B31" s="14" t="s">
        <v>182</v>
      </c>
      <c r="C31" s="7" t="s">
        <v>98</v>
      </c>
      <c r="D31" s="14" t="s">
        <v>182</v>
      </c>
      <c r="E31" s="7" t="s">
        <v>98</v>
      </c>
      <c r="F31" s="12" t="s">
        <v>170</v>
      </c>
    </row>
    <row r="32" spans="1:6" x14ac:dyDescent="0.25">
      <c r="A32" s="13" t="s">
        <v>183</v>
      </c>
      <c r="B32" s="7" t="s">
        <v>98</v>
      </c>
      <c r="C32" s="14" t="s">
        <v>184</v>
      </c>
      <c r="D32" s="7" t="s">
        <v>98</v>
      </c>
      <c r="E32" s="14" t="s">
        <v>184</v>
      </c>
      <c r="F32" s="12" t="s">
        <v>170</v>
      </c>
    </row>
    <row r="33" spans="1:6" ht="24" customHeight="1" x14ac:dyDescent="0.25">
      <c r="A33" s="15" t="s">
        <v>101</v>
      </c>
      <c r="B33" s="16" t="s">
        <v>97</v>
      </c>
      <c r="C33" s="16" t="s">
        <v>97</v>
      </c>
      <c r="D33" s="16" t="s">
        <v>97</v>
      </c>
      <c r="E33" s="16" t="s">
        <v>97</v>
      </c>
      <c r="F33" s="16" t="s">
        <v>185</v>
      </c>
    </row>
    <row r="36" spans="1:6" x14ac:dyDescent="0.25">
      <c r="A36" s="5" t="s">
        <v>186</v>
      </c>
    </row>
    <row r="37" spans="1:6" ht="21.95" customHeight="1" x14ac:dyDescent="0.25">
      <c r="A37" s="5" t="s">
        <v>104</v>
      </c>
      <c r="B37" s="17" t="s">
        <v>187</v>
      </c>
    </row>
    <row r="38" spans="1:6" ht="21.95" customHeight="1" x14ac:dyDescent="0.25">
      <c r="A38" s="5" t="s">
        <v>188</v>
      </c>
      <c r="B38" s="17" t="s">
        <v>189</v>
      </c>
    </row>
    <row r="39" spans="1:6" ht="21.95" customHeight="1" x14ac:dyDescent="0.25">
      <c r="A39" s="5" t="s">
        <v>190</v>
      </c>
      <c r="B39" s="17" t="s">
        <v>191</v>
      </c>
    </row>
    <row r="40" spans="1:6" ht="21.95" customHeight="1" x14ac:dyDescent="0.25">
      <c r="A40" s="5" t="s">
        <v>110</v>
      </c>
      <c r="B40" s="17" t="b">
        <f>(4 / 4) * 100% = 100%</f>
        <v>1</v>
      </c>
    </row>
    <row r="41" spans="1:6" ht="21.95" customHeight="1" x14ac:dyDescent="0.25">
      <c r="A41" s="5" t="s">
        <v>111</v>
      </c>
      <c r="B41" s="5" t="s">
        <v>192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>
      <selection activeCell="B19" sqref="B19:B20"/>
    </sheetView>
  </sheetViews>
  <sheetFormatPr defaultRowHeight="15" x14ac:dyDescent="0.25"/>
  <cols>
    <col min="1" max="1" width="25" style="4" customWidth="1"/>
    <col min="2" max="4" width="45" style="4" customWidth="1"/>
    <col min="5" max="7" width="12" style="4" customWidth="1"/>
    <col min="8" max="16384" width="9.140625" style="4"/>
  </cols>
  <sheetData>
    <row r="1" spans="1:7" ht="35.1" customHeight="1" x14ac:dyDescent="0.25">
      <c r="A1" s="2" t="s">
        <v>193</v>
      </c>
      <c r="B1" s="3"/>
      <c r="C1" s="3"/>
      <c r="D1" s="3"/>
      <c r="E1" s="3"/>
      <c r="F1" s="3"/>
      <c r="G1" s="3"/>
    </row>
    <row r="3" spans="1:7" x14ac:dyDescent="0.25">
      <c r="A3" s="5" t="s">
        <v>194</v>
      </c>
    </row>
    <row r="4" spans="1:7" ht="24.95" customHeight="1" x14ac:dyDescent="0.25">
      <c r="A4" s="6" t="s">
        <v>195</v>
      </c>
      <c r="B4" s="6" t="s">
        <v>196</v>
      </c>
      <c r="C4" s="6" t="s">
        <v>197</v>
      </c>
      <c r="D4" s="6" t="s">
        <v>198</v>
      </c>
    </row>
    <row r="5" spans="1:7" ht="27.95" customHeight="1" x14ac:dyDescent="0.25">
      <c r="A5" s="12" t="s">
        <v>199</v>
      </c>
      <c r="B5" s="9" t="s">
        <v>200</v>
      </c>
      <c r="C5" s="9" t="s">
        <v>201</v>
      </c>
      <c r="D5" s="9" t="s">
        <v>202</v>
      </c>
    </row>
    <row r="6" spans="1:7" ht="27.95" customHeight="1" x14ac:dyDescent="0.25">
      <c r="A6" s="12" t="s">
        <v>203</v>
      </c>
      <c r="B6" s="9" t="s">
        <v>204</v>
      </c>
      <c r="C6" s="9" t="s">
        <v>205</v>
      </c>
      <c r="D6" s="9" t="s">
        <v>206</v>
      </c>
    </row>
    <row r="7" spans="1:7" ht="27.95" customHeight="1" x14ac:dyDescent="0.25">
      <c r="A7" s="12" t="s">
        <v>207</v>
      </c>
      <c r="B7" s="9" t="s">
        <v>208</v>
      </c>
      <c r="C7" s="9" t="s">
        <v>209</v>
      </c>
      <c r="D7" s="9" t="s">
        <v>210</v>
      </c>
    </row>
    <row r="8" spans="1:7" ht="27.95" customHeight="1" x14ac:dyDescent="0.25">
      <c r="A8" s="12" t="s">
        <v>211</v>
      </c>
      <c r="B8" s="9" t="s">
        <v>212</v>
      </c>
      <c r="C8" s="9" t="s">
        <v>213</v>
      </c>
      <c r="D8" s="9" t="s">
        <v>214</v>
      </c>
    </row>
    <row r="9" spans="1:7" ht="27.95" customHeight="1" x14ac:dyDescent="0.25">
      <c r="A9" s="12" t="s">
        <v>215</v>
      </c>
      <c r="B9" s="9" t="s">
        <v>216</v>
      </c>
      <c r="C9" s="9" t="s">
        <v>217</v>
      </c>
      <c r="D9" s="9" t="s">
        <v>218</v>
      </c>
    </row>
    <row r="12" spans="1:7" x14ac:dyDescent="0.25">
      <c r="A12" s="5" t="s">
        <v>219</v>
      </c>
    </row>
    <row r="13" spans="1:7" ht="21.95" customHeight="1" x14ac:dyDescent="0.25">
      <c r="A13" s="5" t="s">
        <v>220</v>
      </c>
      <c r="B13" s="17" t="s">
        <v>221</v>
      </c>
    </row>
    <row r="14" spans="1:7" ht="21.95" customHeight="1" x14ac:dyDescent="0.25">
      <c r="A14" s="5" t="s">
        <v>222</v>
      </c>
      <c r="B14" s="17" t="s">
        <v>223</v>
      </c>
    </row>
    <row r="15" spans="1:7" ht="21.95" customHeight="1" x14ac:dyDescent="0.25">
      <c r="A15" s="5"/>
      <c r="B15" s="17" t="s">
        <v>224</v>
      </c>
    </row>
    <row r="16" spans="1:7" ht="21.95" customHeight="1" x14ac:dyDescent="0.25">
      <c r="A16" s="5" t="s">
        <v>225</v>
      </c>
      <c r="B16" s="17" t="s">
        <v>226</v>
      </c>
    </row>
    <row r="17" spans="1:2" ht="21.95" customHeight="1" x14ac:dyDescent="0.25">
      <c r="A17" s="5" t="s">
        <v>227</v>
      </c>
      <c r="B17" s="17" t="s">
        <v>228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Bài 1 - Statement Coverage</vt:lpstr>
      <vt:lpstr>Bài 2 - Branch Coverage</vt:lpstr>
      <vt:lpstr>Bài 3 - So Sánh &amp; Mở Rộng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Phát Đào Đình</cp:lastModifiedBy>
  <dcterms:created xsi:type="dcterms:W3CDTF">2026-09-28T08:00:17Z</dcterms:created>
  <dcterms:modified xsi:type="dcterms:W3CDTF">2026-09-28T08:03:26Z</dcterms:modified>
</cp:coreProperties>
</file>